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TRM\2025-2\TD\"/>
    </mc:Choice>
  </mc:AlternateContent>
  <xr:revisionPtr revIDLastSave="0" documentId="8_{E3B0549D-4AF4-45FE-A003-C025C7460C0F}" xr6:coauthVersionLast="43" xr6:coauthVersionMax="43" xr10:uidLastSave="{00000000-0000-0000-0000-000000000000}"/>
  <bookViews>
    <workbookView xWindow="-120" yWindow="-120" windowWidth="20730" windowHeight="11160" xr2:uid="{99A13226-6B58-471C-ADF6-7C82923230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0" i="1" l="1"/>
  <c r="E41" i="1"/>
  <c r="D40" i="1"/>
  <c r="D41" i="1"/>
  <c r="C40" i="1"/>
  <c r="C41" i="1"/>
  <c r="B40" i="1"/>
  <c r="B41" i="1"/>
  <c r="D39" i="1"/>
  <c r="E39" i="1"/>
  <c r="C39" i="1"/>
  <c r="B39" i="1"/>
  <c r="F27" i="1"/>
  <c r="E27" i="1"/>
  <c r="E28" i="1"/>
  <c r="E26" i="1"/>
  <c r="D27" i="1"/>
  <c r="D28" i="1"/>
  <c r="D26" i="1"/>
  <c r="C27" i="1"/>
  <c r="C28" i="1"/>
  <c r="C26" i="1"/>
  <c r="B27" i="1"/>
  <c r="B28" i="1"/>
  <c r="F28" i="1" s="1"/>
  <c r="B26" i="1"/>
  <c r="F26" i="1" s="1"/>
  <c r="C11" i="1"/>
  <c r="F40" i="1" l="1"/>
  <c r="F39" i="1"/>
  <c r="F41" i="1"/>
</calcChain>
</file>

<file path=xl/sharedStrings.xml><?xml version="1.0" encoding="utf-8"?>
<sst xmlns="http://schemas.openxmlformats.org/spreadsheetml/2006/main" count="77" uniqueCount="40">
  <si>
    <t>Proyecto</t>
  </si>
  <si>
    <t>Descripción</t>
  </si>
  <si>
    <t>A</t>
  </si>
  <si>
    <t>Nueva planta de producción en Lima</t>
  </si>
  <si>
    <t>B</t>
  </si>
  <si>
    <t>Expansión de capacidad en Arequipa</t>
  </si>
  <si>
    <t>C</t>
  </si>
  <si>
    <t>Alianza estratégica con distribuidor extranjero</t>
  </si>
  <si>
    <t>Criterio</t>
  </si>
  <si>
    <t>Peso (W)</t>
  </si>
  <si>
    <t>C1</t>
  </si>
  <si>
    <t>Rentabilidad esperada</t>
  </si>
  <si>
    <t>C2</t>
  </si>
  <si>
    <t>Riesgo financiero</t>
  </si>
  <si>
    <t>C3</t>
  </si>
  <si>
    <t>Impacto ambiental</t>
  </si>
  <si>
    <t>C4</t>
  </si>
  <si>
    <t>Imagen corporativa</t>
  </si>
  <si>
    <t>Total</t>
  </si>
  <si>
    <t>C1×0.40</t>
  </si>
  <si>
    <t>C2×0.25</t>
  </si>
  <si>
    <t>C3×0.15</t>
  </si>
  <si>
    <t>C4×0.20</t>
  </si>
  <si>
    <t>9×0.40=3.6</t>
  </si>
  <si>
    <t>6×0.25=1.5</t>
  </si>
  <si>
    <t>5×0.15=0.75</t>
  </si>
  <si>
    <t>7×0.20=1.4</t>
  </si>
  <si>
    <t>8×0.40=3.2</t>
  </si>
  <si>
    <t>8×0.25=2.0</t>
  </si>
  <si>
    <t>8×0.15=1.2</t>
  </si>
  <si>
    <t>8×0.20=1.6</t>
  </si>
  <si>
    <t>7×0.40=2.8</t>
  </si>
  <si>
    <t>7×0.25=1.75</t>
  </si>
  <si>
    <t>9×0.15=1.35</t>
  </si>
  <si>
    <t>9×0.20=1.8</t>
  </si>
  <si>
    <t>Si lo hacemos a mano</t>
  </si>
  <si>
    <t>En este caso el mayor es la mejor alternativa , pero hay casos como riesgo que el menor es la alternativa mas optima por ejemplo en riesgo</t>
  </si>
  <si>
    <t>la mejor alternativa</t>
  </si>
  <si>
    <t>Hagamos un analsis de sensibilidad</t>
  </si>
  <si>
    <t>Nuevo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</si>
</sst>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Ejemplo</a:t>
            </a:r>
            <a:r>
              <a:rPr lang="es-PE" baseline="0"/>
              <a:t> 1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Hoja1!$A$26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Hoja1!$B$25:$E$25</c:f>
              <c:strCache>
                <c:ptCount val="4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</c:strCache>
            </c:strRef>
          </c:cat>
          <c:val>
            <c:numRef>
              <c:f>Hoja1!$B$26:$E$26</c:f>
              <c:numCache>
                <c:formatCode>General</c:formatCode>
                <c:ptCount val="4"/>
                <c:pt idx="0">
                  <c:v>3.6</c:v>
                </c:pt>
                <c:pt idx="1">
                  <c:v>1.5</c:v>
                </c:pt>
                <c:pt idx="2">
                  <c:v>0.75</c:v>
                </c:pt>
                <c:pt idx="3">
                  <c:v>1.4000000000000001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2-46F0-B763-E370E3D99701}"/>
            </c:ext>
          </c:extLst>
        </c:ser>
        <c:ser>
          <c:idx val="1"/>
          <c:order val="1"/>
          <c:tx>
            <c:strRef>
              <c:f>Hoja1!$A$27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Hoja1!$B$25:$E$25</c:f>
              <c:strCache>
                <c:ptCount val="4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</c:strCache>
            </c:strRef>
          </c:cat>
          <c:val>
            <c:numRef>
              <c:f>Hoja1!$B$27:$E$27</c:f>
              <c:numCache>
                <c:formatCode>General</c:formatCode>
                <c:ptCount val="4"/>
                <c:pt idx="0">
                  <c:v>3.2</c:v>
                </c:pt>
                <c:pt idx="1">
                  <c:v>2</c:v>
                </c:pt>
                <c:pt idx="2">
                  <c:v>1.2</c:v>
                </c:pt>
                <c:pt idx="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82-46F0-B763-E370E3D99701}"/>
            </c:ext>
          </c:extLst>
        </c:ser>
        <c:ser>
          <c:idx val="2"/>
          <c:order val="2"/>
          <c:tx>
            <c:strRef>
              <c:f>Hoja1!$A$28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Hoja1!$B$25:$E$25</c:f>
              <c:strCache>
                <c:ptCount val="4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</c:strCache>
            </c:strRef>
          </c:cat>
          <c:val>
            <c:numRef>
              <c:f>Hoja1!$B$28:$E$28</c:f>
              <c:numCache>
                <c:formatCode>General</c:formatCode>
                <c:ptCount val="4"/>
                <c:pt idx="0">
                  <c:v>2.8000000000000003</c:v>
                </c:pt>
                <c:pt idx="1">
                  <c:v>1.75</c:v>
                </c:pt>
                <c:pt idx="2">
                  <c:v>1.3499999999999999</c:v>
                </c:pt>
                <c:pt idx="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82-46F0-B763-E370E3D9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662351"/>
        <c:axId val="1897865647"/>
      </c:lineChart>
      <c:catAx>
        <c:axId val="18926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97865647"/>
        <c:crosses val="autoZero"/>
        <c:auto val="1"/>
        <c:lblAlgn val="ctr"/>
        <c:lblOffset val="100"/>
        <c:noMultiLvlLbl val="0"/>
      </c:catAx>
      <c:valAx>
        <c:axId val="189786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9266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423862</xdr:colOff>
      <xdr:row>28</xdr:row>
      <xdr:rowOff>95250</xdr:rowOff>
    </xdr:from>
    <xdr:to>
      <xdr:col>11</xdr:col>
      <xdr:colOff>647700</xdr:colOff>
      <xdr:row>41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5622D3E-011F-4309-8971-1A06999E6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1E99-01EF-41F6-8CDF-1CFB7671DDCB}">
  <dimension ref="A1:G41"/>
  <sheetViews>
    <sheetView tabSelected="1" workbookViewId="0">
      <selection activeCell="I3" sqref="I3"/>
    </sheetView>
  </sheetViews>
  <sheetFormatPr baseColWidth="10" defaultRowHeight="15" x14ac:dyDescent="0.25"/>
  <cols>
    <col min="2" max="2" width="20.42578125" customWidth="1"/>
  </cols>
  <sheetData>
    <row r="1" spans="1:5" x14ac:dyDescent="0.25">
      <c r="A1" s="1" t="s">
        <v>0</v>
      </c>
      <c r="B1" s="1" t="s">
        <v>1</v>
      </c>
    </row>
    <row r="2" spans="1:5" ht="30" x14ac:dyDescent="0.25">
      <c r="A2" s="2" t="s">
        <v>2</v>
      </c>
      <c r="B2" s="2" t="s">
        <v>3</v>
      </c>
    </row>
    <row r="3" spans="1:5" ht="45" x14ac:dyDescent="0.25">
      <c r="A3" s="2" t="s">
        <v>4</v>
      </c>
      <c r="B3" s="2" t="s">
        <v>5</v>
      </c>
    </row>
    <row r="4" spans="1:5" ht="45" x14ac:dyDescent="0.25">
      <c r="A4" s="2" t="s">
        <v>6</v>
      </c>
      <c r="B4" s="2" t="s">
        <v>7</v>
      </c>
    </row>
    <row r="6" spans="1:5" x14ac:dyDescent="0.25">
      <c r="A6" s="1" t="s">
        <v>8</v>
      </c>
      <c r="B6" s="1" t="s">
        <v>1</v>
      </c>
      <c r="C6" s="1" t="s">
        <v>9</v>
      </c>
    </row>
    <row r="7" spans="1:5" ht="30" x14ac:dyDescent="0.25">
      <c r="A7" s="2" t="s">
        <v>10</v>
      </c>
      <c r="B7" s="2" t="s">
        <v>11</v>
      </c>
      <c r="C7" s="2">
        <v>0.4</v>
      </c>
    </row>
    <row r="8" spans="1:5" x14ac:dyDescent="0.25">
      <c r="A8" s="2" t="s">
        <v>12</v>
      </c>
      <c r="B8" s="2" t="s">
        <v>13</v>
      </c>
      <c r="C8" s="2">
        <v>0.25</v>
      </c>
    </row>
    <row r="9" spans="1:5" x14ac:dyDescent="0.25">
      <c r="A9" s="2" t="s">
        <v>14</v>
      </c>
      <c r="B9" s="2" t="s">
        <v>15</v>
      </c>
      <c r="C9" s="2">
        <v>0.15</v>
      </c>
    </row>
    <row r="10" spans="1:5" x14ac:dyDescent="0.25">
      <c r="A10" s="2" t="s">
        <v>16</v>
      </c>
      <c r="B10" s="2" t="s">
        <v>17</v>
      </c>
      <c r="C10" s="2">
        <v>0.2</v>
      </c>
    </row>
    <row r="11" spans="1:5" x14ac:dyDescent="0.25">
      <c r="A11" s="2" t="s">
        <v>18</v>
      </c>
      <c r="B11" s="2"/>
      <c r="C11" s="2">
        <f>SUM(C7:C10)</f>
        <v>1</v>
      </c>
    </row>
    <row r="13" spans="1:5" ht="33.75" customHeight="1" x14ac:dyDescent="0.25">
      <c r="A13" s="3" t="s">
        <v>36</v>
      </c>
      <c r="B13" s="3"/>
      <c r="C13" s="3"/>
      <c r="D13" s="3"/>
      <c r="E13" s="3"/>
    </row>
    <row r="14" spans="1:5" x14ac:dyDescent="0.25">
      <c r="A14" s="1" t="s">
        <v>0</v>
      </c>
      <c r="B14" s="1" t="s">
        <v>10</v>
      </c>
      <c r="C14" s="1" t="s">
        <v>12</v>
      </c>
      <c r="D14" s="1" t="s">
        <v>14</v>
      </c>
      <c r="E14" s="1" t="s">
        <v>16</v>
      </c>
    </row>
    <row r="15" spans="1:5" x14ac:dyDescent="0.25">
      <c r="A15" s="2" t="s">
        <v>2</v>
      </c>
      <c r="B15" s="2">
        <v>9</v>
      </c>
      <c r="C15" s="2">
        <v>6</v>
      </c>
      <c r="D15" s="2">
        <v>5</v>
      </c>
      <c r="E15" s="2">
        <v>7</v>
      </c>
    </row>
    <row r="16" spans="1:5" x14ac:dyDescent="0.25">
      <c r="A16" s="2" t="s">
        <v>4</v>
      </c>
      <c r="B16" s="2">
        <v>8</v>
      </c>
      <c r="C16" s="2">
        <v>8</v>
      </c>
      <c r="D16" s="2">
        <v>8</v>
      </c>
      <c r="E16" s="2">
        <v>8</v>
      </c>
    </row>
    <row r="17" spans="1:7" x14ac:dyDescent="0.25">
      <c r="A17" s="2" t="s">
        <v>6</v>
      </c>
      <c r="B17" s="2">
        <v>7</v>
      </c>
      <c r="C17" s="2">
        <v>7</v>
      </c>
      <c r="D17" s="2">
        <v>9</v>
      </c>
      <c r="E17" s="2">
        <v>9</v>
      </c>
    </row>
    <row r="19" spans="1:7" x14ac:dyDescent="0.25">
      <c r="A19" s="4" t="s">
        <v>35</v>
      </c>
      <c r="B19" s="4"/>
      <c r="C19" s="4"/>
      <c r="D19" s="4"/>
      <c r="E19" s="4"/>
      <c r="F19" s="4"/>
    </row>
    <row r="20" spans="1:7" x14ac:dyDescent="0.25">
      <c r="A20" s="1" t="s">
        <v>0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18</v>
      </c>
    </row>
    <row r="21" spans="1:7" x14ac:dyDescent="0.25">
      <c r="A21" s="2" t="s">
        <v>2</v>
      </c>
      <c r="B21" s="2" t="s">
        <v>23</v>
      </c>
      <c r="C21" s="2" t="s">
        <v>24</v>
      </c>
      <c r="D21" s="2" t="s">
        <v>25</v>
      </c>
      <c r="E21" s="2" t="s">
        <v>26</v>
      </c>
      <c r="F21" s="2">
        <v>7.25</v>
      </c>
    </row>
    <row r="22" spans="1:7" x14ac:dyDescent="0.25">
      <c r="A22" s="2" t="s">
        <v>4</v>
      </c>
      <c r="B22" s="2" t="s">
        <v>27</v>
      </c>
      <c r="C22" s="2" t="s">
        <v>28</v>
      </c>
      <c r="D22" s="2" t="s">
        <v>29</v>
      </c>
      <c r="E22" s="2" t="s">
        <v>30</v>
      </c>
      <c r="F22" s="2">
        <v>8</v>
      </c>
    </row>
    <row r="23" spans="1:7" x14ac:dyDescent="0.25">
      <c r="A23" s="2" t="s">
        <v>6</v>
      </c>
      <c r="B23" s="2" t="s">
        <v>31</v>
      </c>
      <c r="C23" s="2" t="s">
        <v>32</v>
      </c>
      <c r="D23" s="2" t="s">
        <v>33</v>
      </c>
      <c r="E23" s="2" t="s">
        <v>34</v>
      </c>
      <c r="F23" s="2">
        <v>7.7</v>
      </c>
    </row>
    <row r="25" spans="1:7" x14ac:dyDescent="0.25">
      <c r="A25" s="1" t="s">
        <v>0</v>
      </c>
      <c r="B25" s="1" t="s">
        <v>10</v>
      </c>
      <c r="C25" s="1" t="s">
        <v>12</v>
      </c>
      <c r="D25" s="1" t="s">
        <v>14</v>
      </c>
      <c r="E25" s="1" t="s">
        <v>16</v>
      </c>
      <c r="F25" s="1" t="s">
        <v>18</v>
      </c>
    </row>
    <row r="26" spans="1:7" x14ac:dyDescent="0.25">
      <c r="A26" s="2" t="s">
        <v>2</v>
      </c>
      <c r="B26" s="2">
        <f>B15*$C$7</f>
        <v>3.6</v>
      </c>
      <c r="C26" s="2">
        <f>C15*$C$8</f>
        <v>1.5</v>
      </c>
      <c r="D26" s="2">
        <f>D15*$C$9</f>
        <v>0.75</v>
      </c>
      <c r="E26" s="2">
        <f>E15*$C$10</f>
        <v>1.4000000000000001</v>
      </c>
      <c r="F26" s="2">
        <f>SUM(B26:E26)</f>
        <v>7.25</v>
      </c>
    </row>
    <row r="27" spans="1:7" x14ac:dyDescent="0.25">
      <c r="A27" s="5" t="s">
        <v>4</v>
      </c>
      <c r="B27" s="5">
        <f>B16*$C$7</f>
        <v>3.2</v>
      </c>
      <c r="C27" s="5">
        <f>C16*$C$8</f>
        <v>2</v>
      </c>
      <c r="D27" s="5">
        <f>D16*$C$9</f>
        <v>1.2</v>
      </c>
      <c r="E27" s="5">
        <f>E16*$C$10</f>
        <v>1.6</v>
      </c>
      <c r="F27" s="5">
        <f t="shared" ref="F27:F28" si="0">SUM(B27:E27)</f>
        <v>8</v>
      </c>
      <c r="G27" t="s">
        <v>37</v>
      </c>
    </row>
    <row r="28" spans="1:7" x14ac:dyDescent="0.25">
      <c r="A28" s="2" t="s">
        <v>6</v>
      </c>
      <c r="B28" s="2">
        <f>B17*$C$7</f>
        <v>2.8000000000000003</v>
      </c>
      <c r="C28" s="2">
        <f>C17*$C$8</f>
        <v>1.75</v>
      </c>
      <c r="D28" s="2">
        <f>D17*$C$9</f>
        <v>1.3499999999999999</v>
      </c>
      <c r="E28" s="2">
        <f>E17*$C$10</f>
        <v>1.8</v>
      </c>
      <c r="F28" s="2">
        <f t="shared" si="0"/>
        <v>7.7</v>
      </c>
    </row>
    <row r="30" spans="1:7" x14ac:dyDescent="0.25">
      <c r="A30" t="s">
        <v>38</v>
      </c>
    </row>
    <row r="32" spans="1:7" x14ac:dyDescent="0.25">
      <c r="A32" s="1" t="s">
        <v>8</v>
      </c>
      <c r="B32" s="1" t="s">
        <v>39</v>
      </c>
    </row>
    <row r="33" spans="1:6" x14ac:dyDescent="0.25">
      <c r="A33" s="2" t="s">
        <v>10</v>
      </c>
      <c r="B33" s="2">
        <v>0.35</v>
      </c>
    </row>
    <row r="34" spans="1:6" x14ac:dyDescent="0.25">
      <c r="A34" s="2" t="s">
        <v>12</v>
      </c>
      <c r="B34" s="2">
        <v>0.2</v>
      </c>
    </row>
    <row r="35" spans="1:6" x14ac:dyDescent="0.25">
      <c r="A35" s="2" t="s">
        <v>14</v>
      </c>
      <c r="B35" s="2">
        <v>0.25</v>
      </c>
    </row>
    <row r="36" spans="1:6" x14ac:dyDescent="0.25">
      <c r="A36" s="2" t="s">
        <v>16</v>
      </c>
      <c r="B36" s="2">
        <v>0.2</v>
      </c>
    </row>
    <row r="38" spans="1:6" x14ac:dyDescent="0.25">
      <c r="A38" s="1" t="s">
        <v>0</v>
      </c>
      <c r="B38" s="1" t="s">
        <v>10</v>
      </c>
      <c r="C38" s="1" t="s">
        <v>12</v>
      </c>
      <c r="D38" s="1" t="s">
        <v>14</v>
      </c>
      <c r="E38" s="1" t="s">
        <v>16</v>
      </c>
      <c r="F38" s="1" t="s">
        <v>18</v>
      </c>
    </row>
    <row r="39" spans="1:6" x14ac:dyDescent="0.25">
      <c r="A39" s="2" t="s">
        <v>2</v>
      </c>
      <c r="B39" s="2">
        <f>B15*$B$33</f>
        <v>3.15</v>
      </c>
      <c r="C39" s="2">
        <f>C15*$B$34</f>
        <v>1.2000000000000002</v>
      </c>
      <c r="D39" s="2">
        <f>D15*$B$35</f>
        <v>1.25</v>
      </c>
      <c r="E39" s="2">
        <f>E15*$B$36</f>
        <v>1.4000000000000001</v>
      </c>
      <c r="F39" s="2">
        <f>SUM(B39:E39)</f>
        <v>7</v>
      </c>
    </row>
    <row r="40" spans="1:6" x14ac:dyDescent="0.25">
      <c r="A40" s="5" t="s">
        <v>4</v>
      </c>
      <c r="B40" s="5">
        <f t="shared" ref="B40:B41" si="1">B16*$B$33</f>
        <v>2.8</v>
      </c>
      <c r="C40" s="5">
        <f t="shared" ref="C40:C41" si="2">C16*$B$34</f>
        <v>1.6</v>
      </c>
      <c r="D40" s="5">
        <f t="shared" ref="D40:D41" si="3">D16*$B$35</f>
        <v>2</v>
      </c>
      <c r="E40" s="5">
        <f t="shared" ref="E40:E41" si="4">E16*$B$36</f>
        <v>1.6</v>
      </c>
      <c r="F40" s="5">
        <f t="shared" ref="F40:F41" si="5">SUM(B40:E40)</f>
        <v>8</v>
      </c>
    </row>
    <row r="41" spans="1:6" x14ac:dyDescent="0.25">
      <c r="A41" s="2" t="s">
        <v>6</v>
      </c>
      <c r="B41" s="2">
        <f t="shared" si="1"/>
        <v>2.4499999999999997</v>
      </c>
      <c r="C41" s="2">
        <f t="shared" si="2"/>
        <v>1.4000000000000001</v>
      </c>
      <c r="D41" s="2">
        <f t="shared" si="3"/>
        <v>2.25</v>
      </c>
      <c r="E41" s="2">
        <f t="shared" si="4"/>
        <v>1.8</v>
      </c>
      <c r="F41" s="2">
        <f t="shared" si="5"/>
        <v>7.8999999999999995</v>
      </c>
    </row>
  </sheetData>
  <mergeCells count="2">
    <mergeCell ref="A13:E13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</dc:creator>
  <cp:lastModifiedBy>Betsy</cp:lastModifiedBy>
  <dcterms:created xsi:type="dcterms:W3CDTF">2025-11-07T13:46:12Z</dcterms:created>
  <dcterms:modified xsi:type="dcterms:W3CDTF">2025-11-07T14:10:52Z</dcterms:modified>
</cp:coreProperties>
</file>